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8D656642-B5BE-488F-878A-8CF8FA526A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externalReferences>
    <externalReference r:id="rId3"/>
  </externalReferences>
  <definedNames>
    <definedName name="aporte">Planilha1!$F$16:$F$16</definedName>
    <definedName name="patrimonio">Planilha1!$F$19:$F$19</definedName>
    <definedName name="qtd_anos">Planilha1!$F$17:$F$17</definedName>
    <definedName name="rendimento">Planilha1!$B$17:$B$17</definedName>
    <definedName name="salario">Planilha1!$B$16:$B$16</definedName>
    <definedName name="sugestao_investimento">Planilha1!$B$18:$B$18</definedName>
    <definedName name="taxa_mensal">Planilha1!$F$18:$F$18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" l="1" a="1"/>
  <c r="B25" i="1"/>
  <c r="B26" i="1" a="1"/>
  <c r="B26" i="1"/>
  <c r="B27" i="1" a="1"/>
  <c r="B27" i="1"/>
  <c r="B28" i="1" a="1"/>
  <c r="B28" i="1"/>
  <c r="B24" i="1" a="1"/>
  <c r="B24" i="1"/>
  <c r="B36" i="1"/>
  <c r="B37" i="1"/>
  <c r="B38" i="1"/>
  <c r="B39" i="1"/>
  <c r="B40" i="1"/>
  <c r="B35" i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32" i="1"/>
  <c r="C35" i="1" s="1"/>
  <c r="C24" i="1" a="1"/>
  <c r="C24" i="1"/>
  <c r="C25" i="1" a="1"/>
  <c r="C25" i="1"/>
  <c r="C26" i="1" a="1"/>
  <c r="C26" i="1"/>
  <c r="C27" i="1" a="1"/>
  <c r="C27" i="1"/>
  <c r="C28" i="1" a="1"/>
  <c r="C28" i="1"/>
  <c r="F19" i="1"/>
  <c r="F20" i="1" s="1" a="1"/>
  <c r="F20" i="1" s="1"/>
  <c r="B18" i="1"/>
  <c r="C40" i="1" l="1"/>
  <c r="C39" i="1"/>
  <c r="C38" i="1"/>
  <c r="C37" i="1"/>
  <c r="C36" i="1"/>
  <c r="C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<sst xmlns="http://schemas.openxmlformats.org/spreadsheetml/2006/main" count="71" uniqueCount="35">
  <si>
    <t>INSERSOÇÕES</t>
  </si>
  <si>
    <t>INVESTIMENTO MENSAL</t>
  </si>
  <si>
    <t>Salário</t>
  </si>
  <si>
    <t>Quanto investir por mês ?</t>
  </si>
  <si>
    <t>Rendimento Carteira</t>
  </si>
  <si>
    <t>Por Quantos Anos ?</t>
  </si>
  <si>
    <t>Sugestão de Investimento (30%)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</si>
  <si>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</si>
  <si>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</si>
  <si>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</si>
  <si>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</si>
  <si>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</si>
  <si>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</si>
  <si>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</si>
  <si>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</si>
  <si>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</si>
  <si>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</si>
  <si>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</si>
  <si>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</si>
  <si>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</si>
  <si>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</si>
  <si>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</si>
  <si>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</si>
  <si>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</si>
  <si>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</si>
  <si>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</si>
  <si>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</si>
  <si>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</si>
  <si>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</si>
  <si>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</si>
  <si>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CHAVE</t>
  </si>
  <si>
    <t>%</t>
  </si>
  <si>
    <t>Conservador</t>
  </si>
  <si>
    <t>Moderado</t>
  </si>
  <si>
    <t>=PROCV($C$32&amp;"-"&amp;B36,Planilha2$A:$D,4,FALSO)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</si>
</sst>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R$&quot;\ #,##0.00"/>
    <numFmt numFmtId="165" formatCode="&quot;R$&quot;\ #,##0.00;[Red]\-&quot;R$&quot;\ 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Semibold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0"/>
      <name val="Arial"/>
    </font>
    <font>
      <sz val="12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2"/>
      </top>
      <bottom style="hair">
        <color theme="0" tint="-0.14996795556505021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thick">
        <color theme="1"/>
      </right>
      <top style="thin">
        <color theme="2"/>
      </top>
      <bottom style="hair">
        <color theme="0" tint="-0.14996795556505021"/>
      </bottom>
      <diagonal/>
    </border>
    <border>
      <left style="thick">
        <color theme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1"/>
      </left>
      <right style="hair">
        <color theme="0" tint="-0.14996795556505021"/>
      </right>
      <top style="hair">
        <color theme="0" tint="-0.14996795556505021"/>
      </top>
      <bottom style="thin">
        <color theme="0"/>
      </bottom>
      <diagonal/>
    </border>
    <border>
      <left style="thick">
        <color theme="1"/>
      </left>
      <right style="hair">
        <color theme="0" tint="-0.1499679555650502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/>
      <bottom style="thin">
        <color theme="0" tint="-0.34998626667073579"/>
      </bottom>
      <diagonal/>
    </border>
    <border>
      <left style="thick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1"/>
      </left>
      <right style="thin">
        <color theme="0" tint="-0.34998626667073579"/>
      </right>
      <top style="thin">
        <color theme="0" tint="-0.34998626667073579"/>
      </top>
      <bottom style="thick">
        <color theme="1"/>
      </bottom>
      <diagonal/>
    </border>
    <border>
      <left style="thin">
        <color theme="0" tint="-0.34998626667073579"/>
      </left>
      <right style="thick">
        <color theme="1"/>
      </right>
      <top style="thin">
        <color theme="0" tint="-0.34998626667073579"/>
      </top>
      <bottom style="thick">
        <color theme="1"/>
      </bottom>
      <diagonal/>
    </border>
    <border>
      <left style="thick">
        <color theme="1"/>
      </left>
      <right/>
      <top/>
      <bottom style="thin">
        <color theme="0" tint="-0.34998626667073579"/>
      </bottom>
      <diagonal/>
    </border>
    <border>
      <left style="thick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1"/>
      </left>
      <right/>
      <top style="thin">
        <color theme="0" tint="-0.34998626667073579"/>
      </top>
      <bottom style="thick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ck">
        <color theme="1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2"/>
      </top>
      <bottom style="thick">
        <color theme="1"/>
      </bottom>
      <diagonal/>
    </border>
    <border>
      <left style="hair">
        <color theme="0" tint="-0.14996795556505021"/>
      </left>
      <right style="thick">
        <color theme="1"/>
      </right>
      <top style="thin">
        <color theme="2"/>
      </top>
      <bottom style="thick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2"/>
      </right>
      <top style="thick">
        <color theme="1"/>
      </top>
      <bottom style="thick">
        <color theme="1"/>
      </bottom>
      <diagonal/>
    </border>
    <border>
      <left style="thick">
        <color theme="2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ck">
        <color theme="1"/>
      </right>
      <top/>
      <bottom style="thin">
        <color theme="2"/>
      </bottom>
      <diagonal/>
    </border>
    <border>
      <left style="thick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ck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ck">
        <color theme="1"/>
      </right>
      <top style="thin">
        <color theme="2"/>
      </top>
      <bottom style="thick">
        <color theme="1"/>
      </bottom>
      <diagonal/>
    </border>
    <border>
      <left style="thick">
        <color theme="1"/>
      </left>
      <right/>
      <top style="thin">
        <color theme="2"/>
      </top>
      <bottom style="thick">
        <color theme="1"/>
      </bottom>
      <diagonal/>
    </border>
    <border>
      <left/>
      <right style="thin">
        <color theme="2"/>
      </right>
      <top style="thin">
        <color theme="2"/>
      </top>
      <bottom style="thick">
        <color theme="1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2" xfId="0" applyFont="1" applyFill="1" applyBorder="1" applyAlignment="1">
      <alignment horizontal="left" indent="3"/>
    </xf>
    <xf numFmtId="0" fontId="3" fillId="2" borderId="1" xfId="0" applyFont="1" applyFill="1" applyBorder="1" applyAlignment="1">
      <alignment horizontal="left" indent="3"/>
    </xf>
    <xf numFmtId="0" fontId="7" fillId="5" borderId="1" xfId="0" applyFont="1" applyFill="1" applyBorder="1" applyAlignment="1">
      <alignment horizontal="left" indent="3"/>
    </xf>
    <xf numFmtId="0" fontId="9" fillId="0" borderId="0" xfId="0" applyFont="1"/>
    <xf numFmtId="164" fontId="4" fillId="5" borderId="3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 indent="3"/>
    </xf>
    <xf numFmtId="164" fontId="4" fillId="5" borderId="8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left" indent="3"/>
    </xf>
    <xf numFmtId="0" fontId="3" fillId="5" borderId="10" xfId="0" applyFont="1" applyFill="1" applyBorder="1" applyAlignment="1">
      <alignment horizontal="left" indent="3"/>
    </xf>
    <xf numFmtId="0" fontId="3" fillId="5" borderId="11" xfId="0" applyFont="1" applyFill="1" applyBorder="1" applyAlignment="1">
      <alignment horizontal="left" indent="3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indent="3"/>
    </xf>
    <xf numFmtId="164" fontId="4" fillId="0" borderId="14" xfId="1" applyNumberFormat="1" applyFont="1" applyBorder="1" applyAlignment="1">
      <alignment horizontal="center"/>
    </xf>
    <xf numFmtId="0" fontId="3" fillId="2" borderId="15" xfId="0" applyFont="1" applyFill="1" applyBorder="1" applyAlignment="1">
      <alignment indent="3"/>
    </xf>
    <xf numFmtId="10" fontId="4" fillId="0" borderId="16" xfId="0" applyNumberFormat="1" applyFont="1" applyBorder="1" applyAlignment="1">
      <alignment horizontal="center"/>
    </xf>
    <xf numFmtId="0" fontId="3" fillId="2" borderId="17" xfId="0" applyFont="1" applyFill="1" applyBorder="1" applyAlignment="1">
      <alignment indent="3"/>
    </xf>
    <xf numFmtId="164" fontId="4" fillId="2" borderId="18" xfId="0" applyNumberFormat="1" applyFont="1" applyFill="1" applyBorder="1" applyAlignment="1">
      <alignment horizontal="center"/>
    </xf>
    <xf numFmtId="0" fontId="3" fillId="2" borderId="19" xfId="0" applyFont="1" applyFill="1" applyBorder="1" applyAlignment="1">
      <alignment horizontal="left" indent="3"/>
    </xf>
    <xf numFmtId="164" fontId="6" fillId="0" borderId="14" xfId="0" applyNumberFormat="1" applyFont="1" applyBorder="1" applyAlignment="1">
      <alignment horizontal="center"/>
    </xf>
    <xf numFmtId="0" fontId="3" fillId="2" borderId="20" xfId="0" applyFont="1" applyFill="1" applyBorder="1" applyAlignment="1">
      <alignment horizontal="left" indent="3"/>
    </xf>
    <xf numFmtId="0" fontId="6" fillId="0" borderId="16" xfId="0" applyFont="1" applyBorder="1" applyAlignment="1">
      <alignment horizontal="center"/>
    </xf>
    <xf numFmtId="10" fontId="6" fillId="0" borderId="16" xfId="0" applyNumberFormat="1" applyFont="1" applyBorder="1" applyAlignment="1">
      <alignment horizontal="center"/>
    </xf>
    <xf numFmtId="0" fontId="7" fillId="5" borderId="20" xfId="0" applyFont="1" applyFill="1" applyBorder="1" applyAlignment="1">
      <alignment horizontal="left" indent="3"/>
    </xf>
    <xf numFmtId="165" fontId="6" fillId="5" borderId="16" xfId="0" applyNumberFormat="1" applyFont="1" applyFill="1" applyBorder="1" applyAlignment="1">
      <alignment horizontal="center"/>
    </xf>
    <xf numFmtId="0" fontId="7" fillId="5" borderId="21" xfId="0" applyFont="1" applyFill="1" applyBorder="1" applyAlignment="1">
      <alignment horizontal="left" indent="3"/>
    </xf>
    <xf numFmtId="0" fontId="7" fillId="5" borderId="22" xfId="0" applyFont="1" applyFill="1" applyBorder="1" applyAlignment="1">
      <alignment horizontal="left" indent="3"/>
    </xf>
    <xf numFmtId="165" fontId="6" fillId="5" borderId="18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64" fontId="4" fillId="5" borderId="23" xfId="0" applyNumberFormat="1" applyFont="1" applyFill="1" applyBorder="1" applyAlignment="1">
      <alignment horizontal="center"/>
    </xf>
    <xf numFmtId="164" fontId="4" fillId="5" borderId="24" xfId="0" applyNumberFormat="1" applyFont="1" applyFill="1" applyBorder="1" applyAlignment="1">
      <alignment horizontal="center"/>
    </xf>
    <xf numFmtId="0" fontId="11" fillId="3" borderId="0" xfId="0" applyFont="1" applyFill="1"/>
    <xf numFmtId="0" fontId="11" fillId="3" borderId="0" xfId="0" applyFont="1" applyFill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12" fillId="0" borderId="25" xfId="0" applyFont="1" applyBorder="1"/>
    <xf numFmtId="0" fontId="12" fillId="0" borderId="25" xfId="0" applyFont="1" applyBorder="1" applyAlignment="1">
      <alignment horizontal="center"/>
    </xf>
    <xf numFmtId="9" fontId="12" fillId="0" borderId="25" xfId="0" applyNumberFormat="1" applyFont="1" applyBorder="1" applyAlignment="1">
      <alignment horizontal="center"/>
    </xf>
    <xf numFmtId="0" fontId="12" fillId="0" borderId="0" xfId="0" applyFont="1" applyFill="1"/>
    <xf numFmtId="0" fontId="12" fillId="0" borderId="0" xfId="0" applyFont="1" applyFill="1" applyAlignment="1">
      <alignment horizontal="center"/>
    </xf>
    <xf numFmtId="9" fontId="12" fillId="0" borderId="0" xfId="0" applyNumberFormat="1" applyFont="1" applyFill="1" applyAlignment="1">
      <alignment horizont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164" fontId="10" fillId="2" borderId="29" xfId="1" applyNumberFormat="1" applyFont="1" applyFill="1" applyBorder="1" applyAlignment="1">
      <alignment horizontal="center"/>
    </xf>
    <xf numFmtId="0" fontId="10" fillId="2" borderId="30" xfId="0" applyFont="1" applyFill="1" applyBorder="1"/>
    <xf numFmtId="0" fontId="0" fillId="0" borderId="32" xfId="0" applyBorder="1"/>
    <xf numFmtId="0" fontId="0" fillId="0" borderId="33" xfId="0" applyBorder="1"/>
    <xf numFmtId="0" fontId="10" fillId="6" borderId="32" xfId="0" applyFont="1" applyFill="1" applyBorder="1" applyAlignment="1">
      <alignment horizontal="center" wrapText="1"/>
    </xf>
    <xf numFmtId="0" fontId="10" fillId="6" borderId="33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9" fontId="0" fillId="0" borderId="32" xfId="0" applyNumberFormat="1" applyBorder="1" applyAlignment="1">
      <alignment horizontal="center"/>
    </xf>
    <xf numFmtId="164" fontId="0" fillId="2" borderId="33" xfId="0" applyNumberFormat="1" applyFill="1" applyBorder="1" applyAlignment="1">
      <alignment horizontal="center"/>
    </xf>
    <xf numFmtId="164" fontId="10" fillId="6" borderId="34" xfId="0" applyNumberFormat="1" applyFont="1" applyFill="1" applyBorder="1" applyAlignment="1">
      <alignment horizontal="center"/>
    </xf>
    <xf numFmtId="0" fontId="10" fillId="6" borderId="35" xfId="0" applyFont="1" applyFill="1" applyBorder="1" applyAlignment="1">
      <alignment horizontal="center"/>
    </xf>
    <xf numFmtId="0" fontId="10" fillId="6" borderId="36" xfId="0" applyFont="1" applyFill="1" applyBorder="1" applyAlignment="1">
      <alignment horizontal="center"/>
    </xf>
    <xf numFmtId="0" fontId="8" fillId="4" borderId="26" xfId="0" applyFont="1" applyFill="1" applyBorder="1" applyAlignment="1">
      <alignment vertical="center"/>
    </xf>
    <xf numFmtId="0" fontId="10" fillId="2" borderId="37" xfId="0" applyFont="1" applyFill="1" applyBorder="1"/>
    <xf numFmtId="0" fontId="0" fillId="0" borderId="38" xfId="0" applyBorder="1"/>
    <xf numFmtId="0" fontId="10" fillId="6" borderId="38" xfId="0" applyFont="1" applyFill="1" applyBorder="1" applyAlignment="1">
      <alignment horizontal="center"/>
    </xf>
    <xf numFmtId="0" fontId="0" fillId="0" borderId="38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0</xdr:rowOff>
    </xdr:from>
    <xdr:to>
      <xdr:col>1</xdr:col>
      <xdr:colOff>0</xdr:colOff>
      <xdr:row>4</xdr:row>
      <xdr:rowOff>95250</xdr:rowOff>
    </xdr:to>
    <xdr:cxnSp macro="">
      <xdr:nvCxnSpPr>
        <xdr:cNvPr id="6" name="Conector Angulado 5">
          <a:extLst>
            <a:ext uri="{FF2B5EF4-FFF2-40B4-BE49-F238E27FC236}">
              <a16:creationId xmlns:a16="http://schemas.microsoft.com/office/drawing/2014/main" id="{2614F857-FC8B-3462-1FF7-9D2DAB880002}"/>
            </a:ext>
            <a:ext uri="{147F2762-F138-4A5C-976F-8EAC2B608ADB}">
              <a16:predDERef xmlns:a16="http://schemas.microsoft.com/office/drawing/2014/main" pred="{6D527C8B-0203-156A-D098-203D3A5BC7E9}"/>
            </a:ext>
          </a:extLst>
        </xdr:cNvPr>
        <xdr:cNvCxnSpPr>
          <a:cxnSpLocks/>
        </xdr:cNvCxnSpPr>
      </xdr:nvCxnSpPr>
      <xdr:spPr>
        <a:xfrm flipV="1">
          <a:off x="142875" y="190500"/>
          <a:ext cx="1066800" cy="666750"/>
        </a:xfrm>
        <a:prstGeom prst="bentConnector5">
          <a:avLst/>
        </a:prstGeom>
        <a:ln w="76200">
          <a:solidFill>
            <a:schemeClr val="bg1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857250</xdr:colOff>
      <xdr:row>13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E2A2A34-EF1E-4106-38B6-9FA684CE746C}"/>
            </a:ext>
            <a:ext uri="{147F2762-F138-4A5C-976F-8EAC2B608ADB}">
              <a16:predDERef xmlns:a16="http://schemas.microsoft.com/office/drawing/2014/main" pred="{2614F857-FC8B-3462-1FF7-9D2DAB880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24900" cy="26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F41"/>
  <sheetViews>
    <sheetView showGridLines="0" tabSelected="1" topLeftCell="A13" workbookViewId="0">
      <selection activeCell="E28" sqref="E28"/>
    </sheetView>
  </sheetViews>
  <sheetFormatPr defaultColWidth="0" defaultRowHeight="15"/>
  <cols>
    <col min="1" max="1" width="38.42578125" bestFit="1" customWidth="1"/>
    <col min="2" max="2" width="16.140625" bestFit="1" customWidth="1"/>
    <col min="3" max="3" width="13.140625" bestFit="1" customWidth="1"/>
    <col min="4" max="4" width="36" bestFit="1" customWidth="1"/>
    <col min="5" max="6" width="14.28515625" customWidth="1"/>
  </cols>
  <sheetData>
    <row r="8" spans="1:6" ht="16.5" customHeight="1"/>
    <row r="9" spans="1:6" ht="16.5" customHeight="1"/>
    <row r="10" spans="1:6" ht="16.5" customHeight="1"/>
    <row r="15" spans="1:6" ht="30.75">
      <c r="A15" s="12" t="s">
        <v>0</v>
      </c>
      <c r="B15" s="13"/>
      <c r="C15" s="4">
        <v>2</v>
      </c>
      <c r="D15" s="32" t="s">
        <v>1</v>
      </c>
      <c r="E15" s="33"/>
      <c r="F15" s="34"/>
    </row>
    <row r="16" spans="1:6" ht="17.25">
      <c r="A16" s="14" t="s">
        <v>2</v>
      </c>
      <c r="B16" s="15">
        <v>21000</v>
      </c>
      <c r="C16" s="4">
        <v>5</v>
      </c>
      <c r="D16" s="20" t="s">
        <v>3</v>
      </c>
      <c r="E16" s="1"/>
      <c r="F16" s="21">
        <v>6300</v>
      </c>
    </row>
    <row r="17" spans="1:6" ht="17.25">
      <c r="A17" s="16" t="s">
        <v>4</v>
      </c>
      <c r="B17" s="17">
        <v>0.01</v>
      </c>
      <c r="C17" s="4">
        <v>10</v>
      </c>
      <c r="D17" s="22" t="s">
        <v>5</v>
      </c>
      <c r="E17" s="2"/>
      <c r="F17" s="23">
        <v>5</v>
      </c>
    </row>
    <row r="18" spans="1:6" ht="17.25">
      <c r="A18" s="18" t="s">
        <v>6</v>
      </c>
      <c r="B18" s="19">
        <f>B16*30%</f>
        <v>6300</v>
      </c>
      <c r="C18" s="4">
        <v>20</v>
      </c>
      <c r="D18" s="22" t="s">
        <v>7</v>
      </c>
      <c r="E18" s="2"/>
      <c r="F18" s="24">
        <v>1.0789999999999999E-2</v>
      </c>
    </row>
    <row r="19" spans="1:6" ht="17.25">
      <c r="C19" s="4">
        <v>30</v>
      </c>
      <c r="D19" s="25" t="s">
        <v>8</v>
      </c>
      <c r="E19" s="3"/>
      <c r="F19" s="26">
        <f>FV(taxa_mensal,qtd_anos*12,aporte*-1)</f>
        <v>527794.55819047219</v>
      </c>
    </row>
    <row r="20" spans="1:6" ht="17.25">
      <c r="D20" s="27" t="s">
        <v>9</v>
      </c>
      <c r="E20" s="28"/>
      <c r="F20" s="29" cm="1">
        <f t="array" ref="F20">patrimonio*rendimento</f>
        <v>5277.9455819047216</v>
      </c>
    </row>
    <row r="23" spans="1:6" ht="30.75">
      <c r="A23" s="6" t="s">
        <v>10</v>
      </c>
      <c r="B23" s="30" t="s">
        <v>11</v>
      </c>
      <c r="C23" s="31"/>
    </row>
    <row r="24" spans="1:6" ht="17.25">
      <c r="A24" s="7" t="s">
        <v>12</v>
      </c>
      <c r="B24" s="5" cm="1">
        <f t="array" ref="B24">FV($B$17,C15*12,aporte*-1)</f>
        <v>169932.82857510642</v>
      </c>
      <c r="C24" s="8" cm="1">
        <f t="array" ref="C24">B24*rendimento</f>
        <v>1699.3282857510642</v>
      </c>
    </row>
    <row r="25" spans="1:6" ht="17.25">
      <c r="A25" s="9" t="s">
        <v>13</v>
      </c>
      <c r="B25" s="5" cm="1">
        <f t="array" ref="B25">FV($B$17,C16*12,aporte*-1)</f>
        <v>514518.92009537749</v>
      </c>
      <c r="C25" s="8" cm="1">
        <f t="array" ref="C25">B25*rendimento</f>
        <v>5145.1892009537751</v>
      </c>
    </row>
    <row r="26" spans="1:6" ht="17.25">
      <c r="A26" s="9" t="s">
        <v>14</v>
      </c>
      <c r="B26" s="5" cm="1">
        <f t="array" ref="B26">FV($B$17,C17*12,aporte*-1)</f>
        <v>1449243.7435814119</v>
      </c>
      <c r="C26" s="8" cm="1">
        <f t="array" ref="C26">B26*rendimento</f>
        <v>14492.437435814119</v>
      </c>
    </row>
    <row r="27" spans="1:6" ht="17.25">
      <c r="A27" s="10" t="s">
        <v>15</v>
      </c>
      <c r="B27" s="5" cm="1">
        <f t="array" ref="B27">FV($B$17,C18*12,aporte*-1)</f>
        <v>6232308.8019403871</v>
      </c>
      <c r="C27" s="8" cm="1">
        <f t="array" ref="C27">B27*rendimento</f>
        <v>62323.088019403869</v>
      </c>
    </row>
    <row r="28" spans="1:6" ht="17.25">
      <c r="A28" s="11" t="s">
        <v>16</v>
      </c>
      <c r="B28" s="35" cm="1">
        <f t="array" ref="B28">FV($B$17,C19*12,aporte*-1)</f>
        <v>22018274.036441591</v>
      </c>
      <c r="C28" s="36" cm="1">
        <f t="array" ref="C28">B28*rendimento</f>
        <v>220182.74036441592</v>
      </c>
    </row>
    <row r="31" spans="1:6" ht="17.25">
      <c r="A31" s="62" t="s">
        <v>17</v>
      </c>
      <c r="B31" s="48" t="s">
        <v>18</v>
      </c>
      <c r="C31" s="49"/>
    </row>
    <row r="32" spans="1:6">
      <c r="A32" s="63" t="s">
        <v>19</v>
      </c>
      <c r="B32" s="50">
        <f>aporte</f>
        <v>6300</v>
      </c>
      <c r="C32" s="51"/>
    </row>
    <row r="33" spans="1:3">
      <c r="A33" s="64"/>
      <c r="B33" s="52"/>
      <c r="C33" s="53"/>
    </row>
    <row r="34" spans="1:3" ht="29.25">
      <c r="A34" s="65" t="s">
        <v>20</v>
      </c>
      <c r="B34" s="54" t="s">
        <v>21</v>
      </c>
      <c r="C34" s="55" t="s">
        <v>22</v>
      </c>
    </row>
    <row r="35" spans="1:3">
      <c r="A35" s="66" t="s">
        <v>23</v>
      </c>
      <c r="B35" s="57">
        <f>VLOOKUP($B$31&amp;"-"&amp;A35,Planilha2!$A:$D,4,FALSE)</f>
        <v>0.25</v>
      </c>
      <c r="C35" s="58">
        <f>B35*$B$32</f>
        <v>1575</v>
      </c>
    </row>
    <row r="36" spans="1:3">
      <c r="A36" s="66" t="s">
        <v>24</v>
      </c>
      <c r="B36" s="57">
        <f>VLOOKUP($B$31&amp;"-"&amp;A36,Planilha2!$A:$D,4,FALSE)</f>
        <v>0.35</v>
      </c>
      <c r="C36" s="58">
        <f>B36*$B$32</f>
        <v>2205</v>
      </c>
    </row>
    <row r="37" spans="1:3">
      <c r="A37" s="56" t="s">
        <v>25</v>
      </c>
      <c r="B37" s="57">
        <f>VLOOKUP($B$31&amp;"-"&amp;A37,Planilha2!$A:$D,4,FALSE)</f>
        <v>0.1</v>
      </c>
      <c r="C37" s="58">
        <f>B37*$B$32</f>
        <v>630</v>
      </c>
    </row>
    <row r="38" spans="1:3">
      <c r="A38" s="56" t="s">
        <v>26</v>
      </c>
      <c r="B38" s="57">
        <f>VLOOKUP($B$31&amp;"-"&amp;A38,Planilha2!$A:$D,4,FALSE)</f>
        <v>0.05</v>
      </c>
      <c r="C38" s="58">
        <f>B38*$B$32</f>
        <v>315</v>
      </c>
    </row>
    <row r="39" spans="1:3">
      <c r="A39" s="56" t="s">
        <v>27</v>
      </c>
      <c r="B39" s="57">
        <f>VLOOKUP($B$31&amp;"-"&amp;A39,Planilha2!$A:$D,4,FALSE)</f>
        <v>0.15</v>
      </c>
      <c r="C39" s="58">
        <f>B39*$B$32</f>
        <v>945</v>
      </c>
    </row>
    <row r="40" spans="1:3">
      <c r="A40" s="56" t="s">
        <v>28</v>
      </c>
      <c r="B40" s="57">
        <f>VLOOKUP($B$31&amp;"-"&amp;A40,Planilha2!$A:$D,4,FALSE)</f>
        <v>0.1</v>
      </c>
      <c r="C40" s="58">
        <f>B40*$B$32</f>
        <v>630</v>
      </c>
    </row>
    <row r="41" spans="1:3">
      <c r="A41" s="60" t="s">
        <v>29</v>
      </c>
      <c r="B41" s="61"/>
      <c r="C41" s="59">
        <f>SUM(C35:C40)</f>
        <v>6300</v>
      </c>
    </row>
  </sheetData>
  <mergeCells count="4">
    <mergeCell ref="B23:C23"/>
    <mergeCell ref="D15:F15"/>
    <mergeCell ref="B31:C31"/>
    <mergeCell ref="A41:B41"/>
  </mergeCells>
  <dataValidations count="1">
    <dataValidation type="list" allowBlank="1" showInputMessage="1" showErrorMessage="1" sqref="B31" xr:uid="{1A7E6CF6-F623-47E3-9ECF-8D7F6D137FF0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DBB0-81AD-4FFA-A95F-C0D480BF85F9}">
  <dimension ref="A1:E27"/>
  <sheetViews>
    <sheetView showGridLines="0" workbookViewId="0">
      <selection activeCell="D19" sqref="D19"/>
    </sheetView>
  </sheetViews>
  <sheetFormatPr defaultColWidth="0" defaultRowHeight="15" zeroHeight="1"/>
  <cols>
    <col min="1" max="1" width="38.85546875" bestFit="1" customWidth="1"/>
    <col min="2" max="2" width="14.5703125" bestFit="1" customWidth="1"/>
    <col min="3" max="3" width="24.5703125" bestFit="1" customWidth="1"/>
    <col min="4" max="4" width="6" bestFit="1" customWidth="1"/>
  </cols>
  <sheetData>
    <row r="1" spans="1:4" ht="15.75">
      <c r="A1" s="37" t="s">
        <v>30</v>
      </c>
      <c r="B1" s="37" t="s">
        <v>17</v>
      </c>
      <c r="C1" s="38" t="s">
        <v>20</v>
      </c>
      <c r="D1" s="38" t="s">
        <v>31</v>
      </c>
    </row>
    <row r="2" spans="1:4" ht="15.75">
      <c r="A2" s="39" t="str">
        <f>B2&amp;"-"&amp;C2</f>
        <v>Conservador-PAPEL</v>
      </c>
      <c r="B2" s="39" t="s">
        <v>32</v>
      </c>
      <c r="C2" s="40" t="s">
        <v>23</v>
      </c>
      <c r="D2" s="41">
        <v>0.35</v>
      </c>
    </row>
    <row r="3" spans="1:4" ht="15.75">
      <c r="A3" s="39" t="str">
        <f t="shared" ref="A3:A19" si="0">B3&amp;"-"&amp;C3</f>
        <v>Conservador-TIJOLO</v>
      </c>
      <c r="B3" s="39" t="s">
        <v>32</v>
      </c>
      <c r="C3" s="40" t="s">
        <v>24</v>
      </c>
      <c r="D3" s="41">
        <v>0.5</v>
      </c>
    </row>
    <row r="4" spans="1:4" ht="15.75">
      <c r="A4" s="39" t="str">
        <f t="shared" si="0"/>
        <v>Conservador-HÍBRIDOS</v>
      </c>
      <c r="B4" s="39" t="s">
        <v>32</v>
      </c>
      <c r="C4" s="40" t="s">
        <v>25</v>
      </c>
      <c r="D4" s="41">
        <v>0.1</v>
      </c>
    </row>
    <row r="5" spans="1:4" ht="15.75">
      <c r="A5" s="39" t="str">
        <f t="shared" si="0"/>
        <v>Conservador-FOFs</v>
      </c>
      <c r="B5" s="39" t="s">
        <v>32</v>
      </c>
      <c r="C5" s="40" t="s">
        <v>26</v>
      </c>
      <c r="D5" s="41">
        <v>0.05</v>
      </c>
    </row>
    <row r="6" spans="1:4" ht="15.75">
      <c r="A6" s="39" t="str">
        <f t="shared" si="0"/>
        <v>Conservador-DESENVOLVIMENTO</v>
      </c>
      <c r="B6" s="39" t="s">
        <v>32</v>
      </c>
      <c r="C6" s="40" t="s">
        <v>27</v>
      </c>
      <c r="D6" s="41">
        <v>0</v>
      </c>
    </row>
    <row r="7" spans="1:4" ht="15.75">
      <c r="A7" s="42" t="str">
        <f t="shared" si="0"/>
        <v>Conservador-HOTELARIAS</v>
      </c>
      <c r="B7" s="42" t="s">
        <v>32</v>
      </c>
      <c r="C7" s="43" t="s">
        <v>28</v>
      </c>
      <c r="D7" s="44">
        <v>0</v>
      </c>
    </row>
    <row r="8" spans="1:4" ht="15.75">
      <c r="A8" s="39" t="str">
        <f t="shared" si="0"/>
        <v>Moderado-PAPEL</v>
      </c>
      <c r="B8" s="39" t="s">
        <v>33</v>
      </c>
      <c r="C8" s="40" t="s">
        <v>23</v>
      </c>
      <c r="D8" s="41">
        <v>0.3</v>
      </c>
    </row>
    <row r="9" spans="1:4" ht="15.75">
      <c r="A9" s="45" t="str">
        <f t="shared" si="0"/>
        <v>Moderado-TIJOLO</v>
      </c>
      <c r="B9" s="45" t="s">
        <v>33</v>
      </c>
      <c r="C9" s="46" t="s">
        <v>24</v>
      </c>
      <c r="D9" s="47">
        <v>0.45</v>
      </c>
    </row>
    <row r="10" spans="1:4" ht="15.75">
      <c r="A10" s="39" t="str">
        <f t="shared" si="0"/>
        <v>Moderado-HÍBRIDOS</v>
      </c>
      <c r="B10" s="39" t="s">
        <v>33</v>
      </c>
      <c r="C10" s="40" t="s">
        <v>25</v>
      </c>
      <c r="D10" s="41">
        <v>0.1</v>
      </c>
    </row>
    <row r="11" spans="1:4" ht="15.75">
      <c r="A11" s="39" t="str">
        <f t="shared" si="0"/>
        <v>Moderado-FOFs</v>
      </c>
      <c r="B11" s="39" t="s">
        <v>33</v>
      </c>
      <c r="C11" s="40" t="s">
        <v>26</v>
      </c>
      <c r="D11" s="41">
        <v>0.05</v>
      </c>
    </row>
    <row r="12" spans="1:4" ht="15.75">
      <c r="A12" s="39" t="str">
        <f t="shared" si="0"/>
        <v>Moderado-DESENVOLVIMENTO</v>
      </c>
      <c r="B12" s="39" t="s">
        <v>33</v>
      </c>
      <c r="C12" s="40" t="s">
        <v>27</v>
      </c>
      <c r="D12" s="41">
        <v>0.05</v>
      </c>
    </row>
    <row r="13" spans="1:4" ht="15.75">
      <c r="A13" s="42" t="str">
        <f t="shared" si="0"/>
        <v>Moderado-HOTELARIAS</v>
      </c>
      <c r="B13" s="42" t="s">
        <v>33</v>
      </c>
      <c r="C13" s="43" t="s">
        <v>28</v>
      </c>
      <c r="D13" s="44">
        <v>0.05</v>
      </c>
    </row>
    <row r="14" spans="1:4" ht="15.75">
      <c r="A14" s="39" t="str">
        <f t="shared" si="0"/>
        <v>Agressivo-PAPEL</v>
      </c>
      <c r="B14" s="39" t="s">
        <v>18</v>
      </c>
      <c r="C14" s="40" t="s">
        <v>23</v>
      </c>
      <c r="D14" s="41">
        <v>0.25</v>
      </c>
    </row>
    <row r="15" spans="1:4" ht="15.75">
      <c r="A15" s="39" t="str">
        <f t="shared" si="0"/>
        <v>Agressivo-TIJOLO</v>
      </c>
      <c r="B15" s="39" t="s">
        <v>18</v>
      </c>
      <c r="C15" s="40" t="s">
        <v>24</v>
      </c>
      <c r="D15" s="41">
        <v>0.35</v>
      </c>
    </row>
    <row r="16" spans="1:4" ht="15.75">
      <c r="A16" s="39" t="str">
        <f t="shared" si="0"/>
        <v>Agressivo-HÍBRIDOS</v>
      </c>
      <c r="B16" s="39" t="s">
        <v>18</v>
      </c>
      <c r="C16" s="40" t="s">
        <v>25</v>
      </c>
      <c r="D16" s="41">
        <v>0.1</v>
      </c>
    </row>
    <row r="17" spans="1:5" ht="15.75">
      <c r="A17" s="39" t="str">
        <f t="shared" si="0"/>
        <v>Agressivo-FOFs</v>
      </c>
      <c r="B17" s="39" t="s">
        <v>18</v>
      </c>
      <c r="C17" s="40" t="s">
        <v>26</v>
      </c>
      <c r="D17" s="41">
        <v>0.05</v>
      </c>
    </row>
    <row r="18" spans="1:5" ht="15.75">
      <c r="A18" s="39" t="str">
        <f t="shared" si="0"/>
        <v>Agressivo-DESENVOLVIMENTO</v>
      </c>
      <c r="B18" s="39" t="s">
        <v>18</v>
      </c>
      <c r="C18" s="40" t="s">
        <v>27</v>
      </c>
      <c r="D18" s="41">
        <v>0.15</v>
      </c>
    </row>
    <row r="19" spans="1:5" ht="15.75">
      <c r="A19" s="39" t="str">
        <f t="shared" si="0"/>
        <v>Agressivo-HOTELARIAS</v>
      </c>
      <c r="B19" s="39" t="s">
        <v>18</v>
      </c>
      <c r="C19" s="40" t="s">
        <v>28</v>
      </c>
      <c r="D19" s="41">
        <v>0.1</v>
      </c>
    </row>
    <row r="27" spans="1:5" hidden="1">
      <c r="E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2026-10-03T23:28:10Z</dcterms:created>
  <dcterms:modified xsi:type="dcterms:W3CDTF">2026-10-04T03:22:25Z</dcterms:modified>
  <cp:category/>
  <cp:contentStatus/>
</cp:coreProperties>
</file>